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57a1ac6e211cea7/Desktop/swiggy-cuisine-diagnostic/"/>
    </mc:Choice>
  </mc:AlternateContent>
  <xr:revisionPtr revIDLastSave="4" documentId="8_{7B8D936F-964D-44DE-8BD4-B49B4B2C2DD8}" xr6:coauthVersionLast="47" xr6:coauthVersionMax="47" xr10:uidLastSave="{979CD62B-AD98-4D6D-AB12-873CE4880E4D}"/>
  <bookViews>
    <workbookView xWindow="-108" yWindow="-108" windowWidth="23256" windowHeight="12456" tabRatio="500" activeTab="3" xr2:uid="{00000000-000D-0000-FFFF-FFFF00000000}"/>
  </bookViews>
  <sheets>
    <sheet name="Monthly Data" sheetId="1" r:id="rId1"/>
    <sheet name="Cuisine Targets" sheetId="2" r:id="rId2"/>
    <sheet name="Pivot Table" sheetId="3" r:id="rId3"/>
    <sheet name="Cuisine 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C6" i="4"/>
  <c r="C5" i="4"/>
  <c r="C4" i="4"/>
  <c r="D4" i="4" s="1"/>
  <c r="C3" i="4"/>
  <c r="D3" i="4" s="1"/>
  <c r="C2" i="4"/>
  <c r="C7" i="3"/>
  <c r="B7" i="3"/>
  <c r="B7" i="4" s="1"/>
  <c r="C6" i="3"/>
  <c r="B6" i="3"/>
  <c r="B6" i="4" s="1"/>
  <c r="C5" i="3"/>
  <c r="B5" i="3"/>
  <c r="B5" i="4" s="1"/>
  <c r="C4" i="3"/>
  <c r="B4" i="3"/>
  <c r="B4" i="4" s="1"/>
  <c r="C3" i="3"/>
  <c r="B3" i="3"/>
  <c r="B3" i="4" s="1"/>
  <c r="C2" i="3"/>
  <c r="B2" i="3"/>
  <c r="B8" i="3" l="1"/>
  <c r="C8" i="3"/>
  <c r="H5" i="4"/>
  <c r="F5" i="4"/>
  <c r="E5" i="4"/>
  <c r="H6" i="4"/>
  <c r="F6" i="4"/>
  <c r="E6" i="4"/>
  <c r="H7" i="4"/>
  <c r="F7" i="4"/>
  <c r="E7" i="4"/>
  <c r="H3" i="4"/>
  <c r="F3" i="4"/>
  <c r="E3" i="4"/>
  <c r="D5" i="4"/>
  <c r="H4" i="4"/>
  <c r="F4" i="4"/>
  <c r="E4" i="4"/>
  <c r="D6" i="4"/>
  <c r="D7" i="4"/>
  <c r="B2" i="4"/>
  <c r="H2" i="4" l="1"/>
  <c r="F2" i="4"/>
  <c r="E2" i="4"/>
  <c r="D2" i="4"/>
</calcChain>
</file>

<file path=xl/sharedStrings.xml><?xml version="1.0" encoding="utf-8"?>
<sst xmlns="http://schemas.openxmlformats.org/spreadsheetml/2006/main" count="106" uniqueCount="30">
  <si>
    <t>cuisine</t>
  </si>
  <si>
    <t>Chinese</t>
  </si>
  <si>
    <t>2026-01</t>
  </si>
  <si>
    <t>2026-02</t>
  </si>
  <si>
    <t>2026-03</t>
  </si>
  <si>
    <t>2026-04</t>
  </si>
  <si>
    <t>2026-05</t>
  </si>
  <si>
    <t>2026-06</t>
  </si>
  <si>
    <t>Desserts</t>
  </si>
  <si>
    <t>Fast Food</t>
  </si>
  <si>
    <t>Italian</t>
  </si>
  <si>
    <t>North Indian</t>
  </si>
  <si>
    <t>South Indian</t>
  </si>
  <si>
    <t>Sum of total_revenue</t>
  </si>
  <si>
    <t>Sum of order_count</t>
  </si>
  <si>
    <t>Grand Total</t>
  </si>
  <si>
    <t>total_revenue (from Pivot)</t>
  </si>
  <si>
    <t>target_revenue_inr (VLOOKUP)</t>
  </si>
  <si>
    <t>variance</t>
  </si>
  <si>
    <t>percentage_variance</t>
  </si>
  <si>
    <t>status</t>
  </si>
  <si>
    <t>Part A SQL total (Task 5c)</t>
  </si>
  <si>
    <t>Note: 'Part A SQL total' column is sourced from 03_reporting.sql, Task 5(c) derived-fields query output (run against swiggy_capstone.db).</t>
  </si>
  <si>
    <t>Cuisine</t>
  </si>
  <si>
    <t>Target_revenue_inr</t>
  </si>
  <si>
    <t>Month</t>
  </si>
  <si>
    <t>Order_count</t>
  </si>
  <si>
    <t>Total_revenue</t>
  </si>
  <si>
    <t>Avg_revenue</t>
  </si>
  <si>
    <t>Matches Part A SQL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</si>
</sst>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2" fontId="2" fillId="0" borderId="1" xfId="0" applyNumberFormat="1" applyFont="1" applyBorder="1"/>
    <xf numFmtId="3" fontId="4" fillId="0" borderId="1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0" fontId="5" fillId="0" borderId="0" xfId="0" applyFont="1"/>
    <xf numFmtId="164" fontId="2" fillId="0" borderId="1" xfId="0" applyNumberFormat="1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zoomScaleNormal="100" workbookViewId="0">
      <selection activeCell="D28" sqref="D28"/>
    </sheetView>
  </sheetViews>
  <sheetFormatPr defaultColWidth="8.6640625" defaultRowHeight="14.4" x14ac:dyDescent="0.3"/>
  <cols>
    <col min="1" max="1" width="12.109375" bestFit="1" customWidth="1"/>
    <col min="2" max="2" width="8.33203125" bestFit="1" customWidth="1"/>
    <col min="3" max="3" width="13.21875" bestFit="1" customWidth="1"/>
    <col min="4" max="4" width="15.109375" style="12" bestFit="1" customWidth="1"/>
    <col min="5" max="5" width="14.21875" style="12" bestFit="1" customWidth="1"/>
  </cols>
  <sheetData>
    <row r="1" spans="1:5" x14ac:dyDescent="0.3">
      <c r="A1" s="8" t="s">
        <v>23</v>
      </c>
      <c r="B1" s="8" t="s">
        <v>25</v>
      </c>
      <c r="C1" s="8" t="s">
        <v>26</v>
      </c>
      <c r="D1" s="10" t="s">
        <v>27</v>
      </c>
      <c r="E1" s="10" t="s">
        <v>28</v>
      </c>
    </row>
    <row r="2" spans="1:5" x14ac:dyDescent="0.3">
      <c r="A2" s="9" t="s">
        <v>1</v>
      </c>
      <c r="B2" s="9" t="s">
        <v>2</v>
      </c>
      <c r="C2" s="9">
        <v>16</v>
      </c>
      <c r="D2" s="11">
        <v>24583</v>
      </c>
      <c r="E2" s="11">
        <v>1536.4375</v>
      </c>
    </row>
    <row r="3" spans="1:5" x14ac:dyDescent="0.3">
      <c r="A3" s="9" t="s">
        <v>1</v>
      </c>
      <c r="B3" s="9" t="s">
        <v>3</v>
      </c>
      <c r="C3" s="9">
        <v>16</v>
      </c>
      <c r="D3" s="11">
        <v>20381</v>
      </c>
      <c r="E3" s="11">
        <v>1273.8125</v>
      </c>
    </row>
    <row r="4" spans="1:5" x14ac:dyDescent="0.3">
      <c r="A4" s="9" t="s">
        <v>1</v>
      </c>
      <c r="B4" s="9" t="s">
        <v>4</v>
      </c>
      <c r="C4" s="9">
        <v>16</v>
      </c>
      <c r="D4" s="11">
        <v>20273</v>
      </c>
      <c r="E4" s="11">
        <v>1267.0625</v>
      </c>
    </row>
    <row r="5" spans="1:5" x14ac:dyDescent="0.3">
      <c r="A5" s="9" t="s">
        <v>1</v>
      </c>
      <c r="B5" s="9" t="s">
        <v>5</v>
      </c>
      <c r="C5" s="9">
        <v>15</v>
      </c>
      <c r="D5" s="11">
        <v>18695</v>
      </c>
      <c r="E5" s="11">
        <v>1246.3333333333301</v>
      </c>
    </row>
    <row r="6" spans="1:5" x14ac:dyDescent="0.3">
      <c r="A6" s="9" t="s">
        <v>1</v>
      </c>
      <c r="B6" s="9" t="s">
        <v>6</v>
      </c>
      <c r="C6" s="9">
        <v>10</v>
      </c>
      <c r="D6" s="11">
        <v>14677</v>
      </c>
      <c r="E6" s="11">
        <v>1467.7</v>
      </c>
    </row>
    <row r="7" spans="1:5" x14ac:dyDescent="0.3">
      <c r="A7" s="9" t="s">
        <v>1</v>
      </c>
      <c r="B7" s="9" t="s">
        <v>7</v>
      </c>
      <c r="C7" s="9">
        <v>18</v>
      </c>
      <c r="D7" s="11">
        <v>29231</v>
      </c>
      <c r="E7" s="11">
        <v>1623.94444444444</v>
      </c>
    </row>
    <row r="8" spans="1:5" x14ac:dyDescent="0.3">
      <c r="A8" s="9" t="s">
        <v>8</v>
      </c>
      <c r="B8" s="9" t="s">
        <v>2</v>
      </c>
      <c r="C8" s="9">
        <v>3</v>
      </c>
      <c r="D8" s="11">
        <v>5706</v>
      </c>
      <c r="E8" s="11">
        <v>1902</v>
      </c>
    </row>
    <row r="9" spans="1:5" x14ac:dyDescent="0.3">
      <c r="A9" s="9" t="s">
        <v>8</v>
      </c>
      <c r="B9" s="9" t="s">
        <v>3</v>
      </c>
      <c r="C9" s="9">
        <v>3</v>
      </c>
      <c r="D9" s="11">
        <v>3953</v>
      </c>
      <c r="E9" s="11">
        <v>1317.6666666666699</v>
      </c>
    </row>
    <row r="10" spans="1:5" x14ac:dyDescent="0.3">
      <c r="A10" s="9" t="s">
        <v>8</v>
      </c>
      <c r="B10" s="9" t="s">
        <v>4</v>
      </c>
      <c r="C10" s="9">
        <v>2</v>
      </c>
      <c r="D10" s="11">
        <v>2809</v>
      </c>
      <c r="E10" s="11">
        <v>1404.5</v>
      </c>
    </row>
    <row r="11" spans="1:5" x14ac:dyDescent="0.3">
      <c r="A11" s="9" t="s">
        <v>8</v>
      </c>
      <c r="B11" s="9" t="s">
        <v>6</v>
      </c>
      <c r="C11" s="9">
        <v>4</v>
      </c>
      <c r="D11" s="11">
        <v>5633</v>
      </c>
      <c r="E11" s="11">
        <v>1408.25</v>
      </c>
    </row>
    <row r="12" spans="1:5" x14ac:dyDescent="0.3">
      <c r="A12" s="9" t="s">
        <v>8</v>
      </c>
      <c r="B12" s="9" t="s">
        <v>7</v>
      </c>
      <c r="C12" s="9">
        <v>1</v>
      </c>
      <c r="D12" s="11">
        <v>1593</v>
      </c>
      <c r="E12" s="11">
        <v>1593</v>
      </c>
    </row>
    <row r="13" spans="1:5" x14ac:dyDescent="0.3">
      <c r="A13" s="9" t="s">
        <v>9</v>
      </c>
      <c r="B13" s="9" t="s">
        <v>2</v>
      </c>
      <c r="C13" s="9">
        <v>10</v>
      </c>
      <c r="D13" s="11">
        <v>10499</v>
      </c>
      <c r="E13" s="11">
        <v>1049.9000000000001</v>
      </c>
    </row>
    <row r="14" spans="1:5" x14ac:dyDescent="0.3">
      <c r="A14" s="9" t="s">
        <v>9</v>
      </c>
      <c r="B14" s="9" t="s">
        <v>3</v>
      </c>
      <c r="C14" s="9">
        <v>5</v>
      </c>
      <c r="D14" s="11">
        <v>6277</v>
      </c>
      <c r="E14" s="11">
        <v>1255.4000000000001</v>
      </c>
    </row>
    <row r="15" spans="1:5" x14ac:dyDescent="0.3">
      <c r="A15" s="9" t="s">
        <v>9</v>
      </c>
      <c r="B15" s="9" t="s">
        <v>4</v>
      </c>
      <c r="C15" s="9">
        <v>9</v>
      </c>
      <c r="D15" s="11">
        <v>10495</v>
      </c>
      <c r="E15" s="11">
        <v>1166.1111111111099</v>
      </c>
    </row>
    <row r="16" spans="1:5" x14ac:dyDescent="0.3">
      <c r="A16" s="9" t="s">
        <v>9</v>
      </c>
      <c r="B16" s="9" t="s">
        <v>5</v>
      </c>
      <c r="C16" s="9">
        <v>8</v>
      </c>
      <c r="D16" s="11">
        <v>14644</v>
      </c>
      <c r="E16" s="11">
        <v>1830.5</v>
      </c>
    </row>
    <row r="17" spans="1:5" x14ac:dyDescent="0.3">
      <c r="A17" s="9" t="s">
        <v>9</v>
      </c>
      <c r="B17" s="9" t="s">
        <v>6</v>
      </c>
      <c r="C17" s="9">
        <v>6</v>
      </c>
      <c r="D17" s="11">
        <v>8546</v>
      </c>
      <c r="E17" s="11">
        <v>1424.3333333333301</v>
      </c>
    </row>
    <row r="18" spans="1:5" x14ac:dyDescent="0.3">
      <c r="A18" s="9" t="s">
        <v>9</v>
      </c>
      <c r="B18" s="9" t="s">
        <v>7</v>
      </c>
      <c r="C18" s="9">
        <v>4</v>
      </c>
      <c r="D18" s="11">
        <v>4662</v>
      </c>
      <c r="E18" s="11">
        <v>1165.5</v>
      </c>
    </row>
    <row r="19" spans="1:5" x14ac:dyDescent="0.3">
      <c r="A19" s="9" t="s">
        <v>10</v>
      </c>
      <c r="B19" s="9" t="s">
        <v>2</v>
      </c>
      <c r="C19" s="9">
        <v>1</v>
      </c>
      <c r="D19" s="11">
        <v>1716</v>
      </c>
      <c r="E19" s="11">
        <v>1716</v>
      </c>
    </row>
    <row r="20" spans="1:5" x14ac:dyDescent="0.3">
      <c r="A20" s="9" t="s">
        <v>10</v>
      </c>
      <c r="B20" s="9" t="s">
        <v>3</v>
      </c>
      <c r="C20" s="9">
        <v>1</v>
      </c>
      <c r="D20" s="11">
        <v>1142</v>
      </c>
      <c r="E20" s="11">
        <v>1142</v>
      </c>
    </row>
    <row r="21" spans="1:5" x14ac:dyDescent="0.3">
      <c r="A21" s="9" t="s">
        <v>10</v>
      </c>
      <c r="B21" s="9" t="s">
        <v>5</v>
      </c>
      <c r="C21" s="9">
        <v>5</v>
      </c>
      <c r="D21" s="11">
        <v>4510</v>
      </c>
      <c r="E21" s="11">
        <v>902</v>
      </c>
    </row>
    <row r="22" spans="1:5" x14ac:dyDescent="0.3">
      <c r="A22" s="9" t="s">
        <v>10</v>
      </c>
      <c r="B22" s="9" t="s">
        <v>6</v>
      </c>
      <c r="C22" s="9">
        <v>1</v>
      </c>
      <c r="D22" s="11">
        <v>1455</v>
      </c>
      <c r="E22" s="11">
        <v>1455</v>
      </c>
    </row>
    <row r="23" spans="1:5" x14ac:dyDescent="0.3">
      <c r="A23" s="9" t="s">
        <v>10</v>
      </c>
      <c r="B23" s="9" t="s">
        <v>7</v>
      </c>
      <c r="C23" s="9">
        <v>3</v>
      </c>
      <c r="D23" s="11">
        <v>5912</v>
      </c>
      <c r="E23" s="11">
        <v>1970.6666666666699</v>
      </c>
    </row>
    <row r="24" spans="1:5" x14ac:dyDescent="0.3">
      <c r="A24" s="9" t="s">
        <v>11</v>
      </c>
      <c r="B24" s="9" t="s">
        <v>2</v>
      </c>
      <c r="C24" s="9">
        <v>25</v>
      </c>
      <c r="D24" s="11">
        <v>37468</v>
      </c>
      <c r="E24" s="11">
        <v>1498.72</v>
      </c>
    </row>
    <row r="25" spans="1:5" x14ac:dyDescent="0.3">
      <c r="A25" s="9" t="s">
        <v>11</v>
      </c>
      <c r="B25" s="9" t="s">
        <v>3</v>
      </c>
      <c r="C25" s="9">
        <v>26</v>
      </c>
      <c r="D25" s="11">
        <v>38819</v>
      </c>
      <c r="E25" s="11">
        <v>1493.0384615384601</v>
      </c>
    </row>
    <row r="26" spans="1:5" x14ac:dyDescent="0.3">
      <c r="A26" s="9" t="s">
        <v>11</v>
      </c>
      <c r="B26" s="9" t="s">
        <v>4</v>
      </c>
      <c r="C26" s="9">
        <v>25</v>
      </c>
      <c r="D26" s="11">
        <v>25803</v>
      </c>
      <c r="E26" s="11">
        <v>1032.1199999999999</v>
      </c>
    </row>
    <row r="27" spans="1:5" x14ac:dyDescent="0.3">
      <c r="A27" s="9" t="s">
        <v>11</v>
      </c>
      <c r="B27" s="9" t="s">
        <v>5</v>
      </c>
      <c r="C27" s="9">
        <v>27</v>
      </c>
      <c r="D27" s="11">
        <v>39368</v>
      </c>
      <c r="E27" s="11">
        <v>1458.07407407407</v>
      </c>
    </row>
    <row r="28" spans="1:5" x14ac:dyDescent="0.3">
      <c r="A28" s="9" t="s">
        <v>11</v>
      </c>
      <c r="B28" s="9" t="s">
        <v>6</v>
      </c>
      <c r="C28" s="9">
        <v>24</v>
      </c>
      <c r="D28" s="11">
        <v>33707</v>
      </c>
      <c r="E28" s="11">
        <v>1404.4583333333301</v>
      </c>
    </row>
    <row r="29" spans="1:5" x14ac:dyDescent="0.3">
      <c r="A29" s="9" t="s">
        <v>11</v>
      </c>
      <c r="B29" s="9" t="s">
        <v>7</v>
      </c>
      <c r="C29" s="9">
        <v>27</v>
      </c>
      <c r="D29" s="11">
        <v>41132</v>
      </c>
      <c r="E29" s="11">
        <v>1523.4074074074099</v>
      </c>
    </row>
    <row r="30" spans="1:5" x14ac:dyDescent="0.3">
      <c r="A30" s="9" t="s">
        <v>12</v>
      </c>
      <c r="B30" s="9" t="s">
        <v>2</v>
      </c>
      <c r="C30" s="9">
        <v>3</v>
      </c>
      <c r="D30" s="11">
        <v>3339</v>
      </c>
      <c r="E30" s="11">
        <v>1113</v>
      </c>
    </row>
    <row r="31" spans="1:5" x14ac:dyDescent="0.3">
      <c r="A31" s="9" t="s">
        <v>12</v>
      </c>
      <c r="B31" s="9" t="s">
        <v>3</v>
      </c>
      <c r="C31" s="9">
        <v>9</v>
      </c>
      <c r="D31" s="11">
        <v>11754</v>
      </c>
      <c r="E31" s="11">
        <v>1306</v>
      </c>
    </row>
    <row r="32" spans="1:5" x14ac:dyDescent="0.3">
      <c r="A32" s="9" t="s">
        <v>12</v>
      </c>
      <c r="B32" s="9" t="s">
        <v>4</v>
      </c>
      <c r="C32" s="9">
        <v>10</v>
      </c>
      <c r="D32" s="11">
        <v>14818</v>
      </c>
      <c r="E32" s="11">
        <v>1481.8</v>
      </c>
    </row>
    <row r="33" spans="1:5" x14ac:dyDescent="0.3">
      <c r="A33" s="9" t="s">
        <v>12</v>
      </c>
      <c r="B33" s="9" t="s">
        <v>5</v>
      </c>
      <c r="C33" s="9">
        <v>8</v>
      </c>
      <c r="D33" s="11">
        <v>10542</v>
      </c>
      <c r="E33" s="11">
        <v>1317.75</v>
      </c>
    </row>
    <row r="34" spans="1:5" x14ac:dyDescent="0.3">
      <c r="A34" s="9" t="s">
        <v>12</v>
      </c>
      <c r="B34" s="9" t="s">
        <v>6</v>
      </c>
      <c r="C34" s="9">
        <v>7</v>
      </c>
      <c r="D34" s="11">
        <v>10130</v>
      </c>
      <c r="E34" s="11">
        <v>1447.1428571428601</v>
      </c>
    </row>
    <row r="35" spans="1:5" x14ac:dyDescent="0.3">
      <c r="A35" s="9" t="s">
        <v>12</v>
      </c>
      <c r="B35" s="9" t="s">
        <v>7</v>
      </c>
      <c r="C35" s="9">
        <v>10</v>
      </c>
      <c r="D35" s="11">
        <v>12834</v>
      </c>
      <c r="E35" s="11">
        <v>1283.4000000000001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activeCell="B2" sqref="B2:B7"/>
    </sheetView>
  </sheetViews>
  <sheetFormatPr defaultColWidth="8.6640625" defaultRowHeight="14.4" x14ac:dyDescent="0.3"/>
  <cols>
    <col min="1" max="1" width="16" customWidth="1"/>
    <col min="2" max="2" width="20" customWidth="1"/>
  </cols>
  <sheetData>
    <row r="1" spans="1:2" x14ac:dyDescent="0.3">
      <c r="A1" s="1" t="s">
        <v>23</v>
      </c>
      <c r="B1" s="1" t="s">
        <v>24</v>
      </c>
    </row>
    <row r="2" spans="1:2" x14ac:dyDescent="0.3">
      <c r="A2" s="2" t="s">
        <v>11</v>
      </c>
      <c r="B2" s="14">
        <v>180000</v>
      </c>
    </row>
    <row r="3" spans="1:2" x14ac:dyDescent="0.3">
      <c r="A3" s="2" t="s">
        <v>12</v>
      </c>
      <c r="B3" s="14">
        <v>50000</v>
      </c>
    </row>
    <row r="4" spans="1:2" x14ac:dyDescent="0.3">
      <c r="A4" s="2" t="s">
        <v>1</v>
      </c>
      <c r="B4" s="14">
        <v>140000</v>
      </c>
    </row>
    <row r="5" spans="1:2" x14ac:dyDescent="0.3">
      <c r="A5" s="2" t="s">
        <v>10</v>
      </c>
      <c r="B5" s="14">
        <v>10000</v>
      </c>
    </row>
    <row r="6" spans="1:2" x14ac:dyDescent="0.3">
      <c r="A6" s="2" t="s">
        <v>9</v>
      </c>
      <c r="B6" s="14">
        <v>60000</v>
      </c>
    </row>
    <row r="7" spans="1:2" x14ac:dyDescent="0.3">
      <c r="A7" s="2" t="s">
        <v>8</v>
      </c>
      <c r="B7" s="14">
        <v>25000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Normal="100" workbookViewId="0">
      <selection activeCell="C14" sqref="C14"/>
    </sheetView>
  </sheetViews>
  <sheetFormatPr defaultColWidth="8.6640625" defaultRowHeight="14.4" x14ac:dyDescent="0.3"/>
  <cols>
    <col min="1" max="1" width="22" customWidth="1"/>
    <col min="2" max="3" width="20" customWidth="1"/>
  </cols>
  <sheetData>
    <row r="1" spans="1:3" x14ac:dyDescent="0.3">
      <c r="A1" s="1" t="s">
        <v>23</v>
      </c>
      <c r="B1" s="1" t="s">
        <v>13</v>
      </c>
      <c r="C1" s="1" t="s">
        <v>14</v>
      </c>
    </row>
    <row r="2" spans="1:3" x14ac:dyDescent="0.3">
      <c r="A2" s="2" t="s">
        <v>11</v>
      </c>
      <c r="B2" s="14">
        <f>SUMIF('Monthly Data'!$A$2:$A$35,A2,'Monthly Data'!$D$2:$D$35)</f>
        <v>216297</v>
      </c>
      <c r="C2" s="3">
        <f>SUMIF('Monthly Data'!$A$2:$A$35,A2,'Monthly Data'!$C$2:$C$35)</f>
        <v>154</v>
      </c>
    </row>
    <row r="3" spans="1:3" x14ac:dyDescent="0.3">
      <c r="A3" s="2" t="s">
        <v>12</v>
      </c>
      <c r="B3" s="14">
        <f>SUMIF('Monthly Data'!$A$2:$A$35,A3,'Monthly Data'!$D$2:$D$35)</f>
        <v>63417</v>
      </c>
      <c r="C3" s="3">
        <f>SUMIF('Monthly Data'!$A$2:$A$35,A3,'Monthly Data'!$C$2:$C$35)</f>
        <v>47</v>
      </c>
    </row>
    <row r="4" spans="1:3" x14ac:dyDescent="0.3">
      <c r="A4" s="2" t="s">
        <v>1</v>
      </c>
      <c r="B4" s="14">
        <f>SUMIF('Monthly Data'!$A$2:$A$35,A4,'Monthly Data'!$D$2:$D$35)</f>
        <v>127840</v>
      </c>
      <c r="C4" s="3">
        <f>SUMIF('Monthly Data'!$A$2:$A$35,A4,'Monthly Data'!$C$2:$C$35)</f>
        <v>91</v>
      </c>
    </row>
    <row r="5" spans="1:3" x14ac:dyDescent="0.3">
      <c r="A5" s="2" t="s">
        <v>10</v>
      </c>
      <c r="B5" s="14">
        <f>SUMIF('Monthly Data'!$A$2:$A$35,A5,'Monthly Data'!$D$2:$D$35)</f>
        <v>14735</v>
      </c>
      <c r="C5" s="3">
        <f>SUMIF('Monthly Data'!$A$2:$A$35,A5,'Monthly Data'!$C$2:$C$35)</f>
        <v>11</v>
      </c>
    </row>
    <row r="6" spans="1:3" x14ac:dyDescent="0.3">
      <c r="A6" s="2" t="s">
        <v>9</v>
      </c>
      <c r="B6" s="14">
        <f>SUMIF('Monthly Data'!$A$2:$A$35,A6,'Monthly Data'!$D$2:$D$35)</f>
        <v>55123</v>
      </c>
      <c r="C6" s="3">
        <f>SUMIF('Monthly Data'!$A$2:$A$35,A6,'Monthly Data'!$C$2:$C$35)</f>
        <v>42</v>
      </c>
    </row>
    <row r="7" spans="1:3" x14ac:dyDescent="0.3">
      <c r="A7" s="2" t="s">
        <v>8</v>
      </c>
      <c r="B7" s="14">
        <f>SUMIF('Monthly Data'!$A$2:$A$35,A7,'Monthly Data'!$D$2:$D$35)</f>
        <v>19694</v>
      </c>
      <c r="C7" s="3">
        <f>SUMIF('Monthly Data'!$A$2:$A$35,A7,'Monthly Data'!$C$2:$C$35)</f>
        <v>13</v>
      </c>
    </row>
    <row r="8" spans="1:3" x14ac:dyDescent="0.3">
      <c r="A8" s="4" t="s">
        <v>15</v>
      </c>
      <c r="B8" s="15">
        <f>SUM(B2:B7)</f>
        <v>497106</v>
      </c>
      <c r="C8" s="5">
        <f>SUM(C2:C7)</f>
        <v>358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zoomScaleNormal="100" workbookViewId="0">
      <selection activeCell="H8" sqref="H8"/>
    </sheetView>
  </sheetViews>
  <sheetFormatPr defaultColWidth="8.6640625" defaultRowHeight="14.4" x14ac:dyDescent="0.3"/>
  <cols>
    <col min="1" max="1" width="16" customWidth="1"/>
    <col min="2" max="2" width="24" customWidth="1"/>
    <col min="3" max="3" width="26" customWidth="1"/>
    <col min="4" max="4" width="12" customWidth="1"/>
    <col min="5" max="5" width="18" customWidth="1"/>
    <col min="6" max="8" width="22" customWidth="1"/>
  </cols>
  <sheetData>
    <row r="1" spans="1:8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29</v>
      </c>
    </row>
    <row r="2" spans="1:8" x14ac:dyDescent="0.3">
      <c r="A2" s="2" t="s">
        <v>11</v>
      </c>
      <c r="B2" s="14">
        <f>'Pivot Table'!B2</f>
        <v>216297</v>
      </c>
      <c r="C2" s="14">
        <f>VLOOKUP(A2,'Cuisine Targets'!$A$2:$B$7,2,FALSE())</f>
        <v>180000</v>
      </c>
      <c r="D2" s="3">
        <f t="shared" ref="D2:D7" si="0">C2-B2</f>
        <v>-36297</v>
      </c>
      <c r="E2" s="6">
        <f t="shared" ref="E2:E7" si="1">((B2-C2)/C2)*100</f>
        <v>20.164999999999999</v>
      </c>
      <c r="F2" s="2" t="str">
        <f t="shared" ref="F2:F7" si="2">IF(B2&gt;=C2,"Above Target",IF(((C2-B2)/C2)*100&lt;=15,"Below Target - Watch","Below Target - Critical"))</f>
        <v>Above Target</v>
      </c>
      <c r="G2" s="7">
        <v>216297</v>
      </c>
      <c r="H2" s="4" t="str">
        <f t="shared" ref="H2:H7" si="3">IF(B2=G2,"Yes","No - MISMATCH")</f>
        <v>Yes</v>
      </c>
    </row>
    <row r="3" spans="1:8" x14ac:dyDescent="0.3">
      <c r="A3" s="2" t="s">
        <v>12</v>
      </c>
      <c r="B3" s="14">
        <f>'Pivot Table'!B3</f>
        <v>63417</v>
      </c>
      <c r="C3" s="14">
        <f>VLOOKUP(A3,'Cuisine Targets'!$A$2:$B$7,2,FALSE())</f>
        <v>50000</v>
      </c>
      <c r="D3" s="3">
        <f t="shared" si="0"/>
        <v>-13417</v>
      </c>
      <c r="E3" s="6">
        <f t="shared" si="1"/>
        <v>26.834000000000003</v>
      </c>
      <c r="F3" s="2" t="str">
        <f t="shared" si="2"/>
        <v>Above Target</v>
      </c>
      <c r="G3" s="7">
        <v>63417</v>
      </c>
      <c r="H3" s="4" t="str">
        <f t="shared" si="3"/>
        <v>Yes</v>
      </c>
    </row>
    <row r="4" spans="1:8" x14ac:dyDescent="0.3">
      <c r="A4" s="2" t="s">
        <v>1</v>
      </c>
      <c r="B4" s="14">
        <f>'Pivot Table'!B4</f>
        <v>127840</v>
      </c>
      <c r="C4" s="14">
        <f>VLOOKUP(A4,'Cuisine Targets'!$A$2:$B$7,2,FALSE())</f>
        <v>140000</v>
      </c>
      <c r="D4" s="3">
        <f t="shared" si="0"/>
        <v>12160</v>
      </c>
      <c r="E4" s="6">
        <f t="shared" si="1"/>
        <v>-8.6857142857142851</v>
      </c>
      <c r="F4" s="2" t="str">
        <f t="shared" si="2"/>
        <v>Below Target - Watch</v>
      </c>
      <c r="G4" s="7">
        <v>127840</v>
      </c>
      <c r="H4" s="4" t="str">
        <f t="shared" si="3"/>
        <v>Yes</v>
      </c>
    </row>
    <row r="5" spans="1:8" x14ac:dyDescent="0.3">
      <c r="A5" s="2" t="s">
        <v>10</v>
      </c>
      <c r="B5" s="14">
        <f>'Pivot Table'!B5</f>
        <v>14735</v>
      </c>
      <c r="C5" s="14">
        <f>VLOOKUP(A5,'Cuisine Targets'!$A$2:$B$7,2,FALSE())</f>
        <v>10000</v>
      </c>
      <c r="D5" s="3">
        <f t="shared" si="0"/>
        <v>-4735</v>
      </c>
      <c r="E5" s="6">
        <f t="shared" si="1"/>
        <v>47.349999999999994</v>
      </c>
      <c r="F5" s="2" t="str">
        <f t="shared" si="2"/>
        <v>Above Target</v>
      </c>
      <c r="G5" s="7">
        <v>14735</v>
      </c>
      <c r="H5" s="4" t="str">
        <f t="shared" si="3"/>
        <v>Yes</v>
      </c>
    </row>
    <row r="6" spans="1:8" x14ac:dyDescent="0.3">
      <c r="A6" s="2" t="s">
        <v>9</v>
      </c>
      <c r="B6" s="14">
        <f>'Pivot Table'!B6</f>
        <v>55123</v>
      </c>
      <c r="C6" s="14">
        <f>VLOOKUP(A6,'Cuisine Targets'!$A$2:$B$7,2,FALSE())</f>
        <v>60000</v>
      </c>
      <c r="D6" s="3">
        <f t="shared" si="0"/>
        <v>4877</v>
      </c>
      <c r="E6" s="6">
        <f t="shared" si="1"/>
        <v>-8.1283333333333339</v>
      </c>
      <c r="F6" s="2" t="str">
        <f t="shared" si="2"/>
        <v>Below Target - Watch</v>
      </c>
      <c r="G6" s="7">
        <v>55123</v>
      </c>
      <c r="H6" s="4" t="str">
        <f t="shared" si="3"/>
        <v>Yes</v>
      </c>
    </row>
    <row r="7" spans="1:8" x14ac:dyDescent="0.3">
      <c r="A7" s="2" t="s">
        <v>8</v>
      </c>
      <c r="B7" s="14">
        <f>'Pivot Table'!B7</f>
        <v>19694</v>
      </c>
      <c r="C7" s="14">
        <f>VLOOKUP(A7,'Cuisine Targets'!$A$2:$B$7,2,FALSE())</f>
        <v>25000</v>
      </c>
      <c r="D7" s="3">
        <f t="shared" si="0"/>
        <v>5306</v>
      </c>
      <c r="E7" s="6">
        <f t="shared" si="1"/>
        <v>-21.224</v>
      </c>
      <c r="F7" s="2" t="str">
        <f t="shared" si="2"/>
        <v>Below Target - Critical</v>
      </c>
      <c r="G7" s="7">
        <v>19694</v>
      </c>
      <c r="H7" s="4" t="str">
        <f t="shared" si="3"/>
        <v>Yes</v>
      </c>
    </row>
    <row r="9" spans="1:8" x14ac:dyDescent="0.3">
      <c r="A9" s="13" t="s">
        <v>22</v>
      </c>
      <c r="B9" s="13"/>
      <c r="C9" s="13"/>
      <c r="D9" s="13"/>
      <c r="E9" s="13"/>
      <c r="F9" s="13"/>
      <c r="G9" s="13"/>
      <c r="H9" s="13"/>
    </row>
  </sheetData>
  <mergeCells count="1"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Cuisine Targets</vt:lpstr>
      <vt:lpstr>Pivot Table</vt:lpstr>
      <vt:lpstr>Cuisine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CHARUMATHEY K</cp:lastModifiedBy>
  <cp:revision>0</cp:revision>
  <dcterms:created xsi:type="dcterms:W3CDTF">2026-08-10T06:32:16Z</dcterms:created>
  <dcterms:modified xsi:type="dcterms:W3CDTF">2026-08-10T08:36:27Z</dcterms:modified>
  <dc:language>en-US</dc:language>
</cp:coreProperties>
</file>